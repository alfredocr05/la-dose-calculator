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marnin\Downloads\"/>
    </mc:Choice>
  </mc:AlternateContent>
  <xr:revisionPtr revIDLastSave="0" documentId="8_{6845508C-C184-42D5-8871-9AEA4EBDE20D}" xr6:coauthVersionLast="47" xr6:coauthVersionMax="47" xr10:uidLastSave="{00000000-0000-0000-0000-000000000000}"/>
  <bookViews>
    <workbookView xWindow="1335" yWindow="1170" windowWidth="26265" windowHeight="15600" tabRatio="510" xr2:uid="{00000000-000D-0000-FFFF-FFFF00000000}"/>
  </bookViews>
  <sheets>
    <sheet name="Local Anesthetic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I7" i="1" s="1"/>
  <c r="G19" i="1"/>
  <c r="I19" i="1" s="1"/>
  <c r="G12" i="1"/>
  <c r="I12" i="1" s="1"/>
  <c r="G18" i="1"/>
  <c r="I18" i="1" s="1"/>
  <c r="G11" i="1"/>
  <c r="I11" i="1" s="1"/>
  <c r="G17" i="1"/>
  <c r="I17" i="1" s="1"/>
  <c r="G10" i="1"/>
  <c r="I10" i="1" s="1"/>
  <c r="G16" i="1"/>
  <c r="I16" i="1" s="1"/>
  <c r="G9" i="1"/>
  <c r="I9" i="1" s="1"/>
  <c r="G15" i="1"/>
  <c r="I15" i="1" s="1"/>
  <c r="G8" i="1"/>
  <c r="I8" i="1" s="1"/>
  <c r="G14" i="1"/>
  <c r="I14" i="1" s="1"/>
  <c r="J1" i="1" l="1"/>
  <c r="J2" i="1" s="1"/>
  <c r="J7" i="1" s="1"/>
  <c r="J15" i="1" l="1"/>
  <c r="J19" i="1"/>
  <c r="J12" i="1"/>
  <c r="J14" i="1"/>
  <c r="J8" i="1"/>
  <c r="J9" i="1"/>
  <c r="J18" i="1"/>
  <c r="J11" i="1"/>
  <c r="J17" i="1"/>
  <c r="J10" i="1"/>
  <c r="J16" i="1"/>
</calcChain>
</file>

<file path=xl/sharedStrings.xml><?xml version="1.0" encoding="utf-8"?>
<sst xmlns="http://schemas.openxmlformats.org/spreadsheetml/2006/main" count="68" uniqueCount="43">
  <si>
    <t>Local Anesthetic</t>
  </si>
  <si>
    <t>Epinephrine?</t>
  </si>
  <si>
    <t>mg/kg</t>
  </si>
  <si>
    <t>mL/kg</t>
  </si>
  <si>
    <t>Lidocaine 0.5%</t>
  </si>
  <si>
    <t>YES</t>
  </si>
  <si>
    <t>Lidocaine 1%</t>
  </si>
  <si>
    <t xml:space="preserve">Lidocaine 2% </t>
  </si>
  <si>
    <t>Bupivacaine 0.25%</t>
  </si>
  <si>
    <t>Bupivacaine 0.5%</t>
  </si>
  <si>
    <t>Ropivacaine 0.2%</t>
  </si>
  <si>
    <t>Remaining %</t>
  </si>
  <si>
    <t>Max % Dose Given</t>
  </si>
  <si>
    <t>300 mg</t>
  </si>
  <si>
    <t>500 mg</t>
  </si>
  <si>
    <t>150 mg</t>
  </si>
  <si>
    <t>225 mg</t>
  </si>
  <si>
    <t>Lidocaine 2%</t>
  </si>
  <si>
    <t>**Disclaimer: The information provided by this calculator should NOT replace clinical judgement and decision making by licensed medical professionals.</t>
  </si>
  <si>
    <t>MEDICATIONS CONTAINING EPINEPHRINE</t>
  </si>
  <si>
    <t>Patient Weight (kg)</t>
  </si>
  <si>
    <t>5 mg/mL</t>
  </si>
  <si>
    <t>2 mg/mL</t>
  </si>
  <si>
    <t>10 mg/mL</t>
  </si>
  <si>
    <t>20 mg/mL</t>
  </si>
  <si>
    <t>2.5 mg/mL</t>
  </si>
  <si>
    <t>Concentration</t>
  </si>
  <si>
    <t>Patient Initials</t>
  </si>
  <si>
    <t>Instructions:</t>
  </si>
  <si>
    <t>1. Enter patient's weight into designated box.</t>
  </si>
  <si>
    <t>Surgeon</t>
  </si>
  <si>
    <t>Date</t>
  </si>
  <si>
    <t>Not intended for use with epidural/continuous local anesthetic infusions.</t>
  </si>
  <si>
    <t>Cumulative Amount Given
 (mL)</t>
  </si>
  <si>
    <t>3. Enter prior (i.e. regional nerve block, intravenous) administrations into "Cumulative Amount Given" column.</t>
  </si>
  <si>
    <t>4. Add additonal administrations as indicated to the "Cumulative Amount Given" column. If one agent is administered multiple times, add the administration amounts together in the "Cumulative Amount Given" column.</t>
  </si>
  <si>
    <t>2. Enter patient's initials, surgeon's last name, and date into designated boxes.</t>
  </si>
  <si>
    <t>FYI: Marcaine is a brand name for bupivacaine. They are synonymous.</t>
  </si>
  <si>
    <t>Maximum
Total Dose</t>
  </si>
  <si>
    <t>% Max Dose Given
 (Total dose for all agents should not exceed 100%)</t>
  </si>
  <si>
    <t>Maximum Allowable Dose</t>
  </si>
  <si>
    <t>Calculated Max Dose in “mL”</t>
  </si>
  <si>
    <t>Total Remaining Dose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</si>
</sst>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ajor"/>
    </font>
    <font>
      <sz val="10"/>
      <name val="Arial"/>
      <family val="2"/>
      <scheme val="major"/>
    </font>
    <font>
      <b/>
      <sz val="10"/>
      <color rgb="FFFF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10"/>
      <color theme="0"/>
      <name val="Arial"/>
      <family val="2"/>
      <scheme val="major"/>
    </font>
    <font>
      <sz val="10"/>
      <color rgb="FFFF0000"/>
      <name val="Arial"/>
      <family val="2"/>
      <scheme val="maj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5" fillId="0" borderId="0" xfId="0" applyFont="1"/>
    <xf numFmtId="0" fontId="4" fillId="0" borderId="0" xfId="0" applyFont="1" applyAlignment="1">
      <alignment vertical="top"/>
    </xf>
    <xf numFmtId="10" fontId="4" fillId="0" borderId="0" xfId="0" applyNumberFormat="1" applyFont="1" applyAlignment="1">
      <alignment vertical="top"/>
    </xf>
    <xf numFmtId="0" fontId="1" fillId="7" borderId="5" xfId="0" applyFont="1" applyFill="1" applyBorder="1" applyAlignment="1">
      <alignment wrapText="1"/>
    </xf>
    <xf numFmtId="0" fontId="4" fillId="4" borderId="5" xfId="0" applyFont="1" applyFill="1" applyBorder="1" applyProtection="1">
      <protection locked="0"/>
    </xf>
    <xf numFmtId="0" fontId="1" fillId="7" borderId="5" xfId="0" applyFont="1" applyFill="1" applyBorder="1"/>
    <xf numFmtId="10" fontId="4" fillId="0" borderId="5" xfId="0" applyNumberFormat="1" applyFont="1" applyBorder="1"/>
    <xf numFmtId="0" fontId="6" fillId="7" borderId="5" xfId="0" applyFont="1" applyFill="1" applyBorder="1"/>
    <xf numFmtId="10" fontId="5" fillId="0" borderId="5" xfId="0" applyNumberFormat="1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5" fillId="3" borderId="2" xfId="0" applyFont="1" applyFill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4" borderId="4" xfId="0" applyFont="1" applyFill="1" applyBorder="1" applyProtection="1">
      <protection locked="0"/>
    </xf>
    <xf numFmtId="10" fontId="4" fillId="0" borderId="6" xfId="0" applyNumberFormat="1" applyFont="1" applyBorder="1"/>
    <xf numFmtId="2" fontId="5" fillId="6" borderId="5" xfId="0" applyNumberFormat="1" applyFont="1" applyFill="1" applyBorder="1"/>
    <xf numFmtId="0" fontId="4" fillId="3" borderId="4" xfId="0" applyFont="1" applyFill="1" applyBorder="1"/>
    <xf numFmtId="0" fontId="6" fillId="2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2" fontId="4" fillId="0" borderId="4" xfId="0" applyNumberFormat="1" applyFont="1" applyBorder="1"/>
    <xf numFmtId="10" fontId="5" fillId="0" borderId="0" xfId="0" applyNumberFormat="1" applyFont="1"/>
    <xf numFmtId="0" fontId="9" fillId="0" borderId="0" xfId="0" applyFont="1"/>
    <xf numFmtId="0" fontId="10" fillId="0" borderId="0" xfId="0" applyFont="1"/>
    <xf numFmtId="10" fontId="4" fillId="0" borderId="7" xfId="0" applyNumberFormat="1" applyFont="1" applyBorder="1"/>
    <xf numFmtId="0" fontId="6" fillId="0" borderId="0" xfId="0" applyFont="1"/>
    <xf numFmtId="0" fontId="5" fillId="6" borderId="5" xfId="0" applyFont="1" applyFill="1" applyBorder="1" applyProtection="1">
      <protection locked="0"/>
    </xf>
    <xf numFmtId="0" fontId="2" fillId="5" borderId="4" xfId="0" applyFont="1" applyFill="1" applyBorder="1"/>
    <xf numFmtId="0" fontId="2" fillId="3" borderId="4" xfId="0" applyFont="1" applyFill="1" applyBorder="1"/>
    <xf numFmtId="0" fontId="2" fillId="0" borderId="4" xfId="0" applyFont="1" applyBorder="1" applyAlignment="1">
      <alignment horizontal="center"/>
    </xf>
    <xf numFmtId="2" fontId="2" fillId="0" borderId="4" xfId="0" applyNumberFormat="1" applyFont="1" applyBorder="1"/>
    <xf numFmtId="0" fontId="2" fillId="4" borderId="4" xfId="0" applyFont="1" applyFill="1" applyBorder="1" applyProtection="1">
      <protection locked="0"/>
    </xf>
    <xf numFmtId="10" fontId="2" fillId="0" borderId="6" xfId="0" applyNumberFormat="1" applyFont="1" applyBorder="1"/>
    <xf numFmtId="2" fontId="2" fillId="6" borderId="5" xfId="0" applyNumberFormat="1" applyFont="1" applyFill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7" fillId="8" borderId="9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6"/>
  <sheetViews>
    <sheetView tabSelected="1" zoomScale="90" zoomScaleNormal="90" workbookViewId="0">
      <pane ySplit="6" topLeftCell="A7" activePane="bottomLeft" state="frozen"/>
      <selection pane="bottomLeft" activeCell="K12" sqref="K12"/>
    </sheetView>
  </sheetViews>
  <sheetFormatPr defaultColWidth="0" defaultRowHeight="15.75" customHeight="1" zeroHeight="1" x14ac:dyDescent="0.2"/>
  <cols>
    <col min="1" max="1" width="25" customWidth="1"/>
    <col min="2" max="2" width="15.42578125" customWidth="1"/>
    <col min="3" max="3" width="14.85546875" customWidth="1"/>
    <col min="4" max="4" width="18.28515625" customWidth="1"/>
    <col min="5" max="5" width="12.5703125" customWidth="1"/>
    <col min="6" max="6" width="16" customWidth="1"/>
    <col min="7" max="7" width="17.7109375" customWidth="1"/>
    <col min="8" max="8" width="15.28515625" customWidth="1"/>
    <col min="9" max="9" width="20.5703125" customWidth="1"/>
    <col min="10" max="10" width="12.5703125" customWidth="1"/>
    <col min="11" max="11" width="21.28515625" customWidth="1"/>
    <col min="12" max="12" width="12.5703125" style="40" hidden="1" customWidth="1"/>
    <col min="13" max="16384" width="12.5703125" hidden="1"/>
  </cols>
  <sheetData>
    <row r="1" spans="1:10" ht="15" customHeight="1" x14ac:dyDescent="0.2">
      <c r="A1" s="7" t="s">
        <v>20</v>
      </c>
      <c r="B1" s="8">
        <v>1</v>
      </c>
      <c r="C1" s="4"/>
      <c r="D1" s="7" t="s">
        <v>27</v>
      </c>
      <c r="E1" s="31"/>
      <c r="F1" s="4"/>
      <c r="I1" s="9" t="s">
        <v>12</v>
      </c>
      <c r="J1" s="10">
        <f>SUM(I7:I12:I14:I19)</f>
        <v>0</v>
      </c>
    </row>
    <row r="2" spans="1:10" ht="15.75" customHeight="1" x14ac:dyDescent="0.2">
      <c r="A2" s="4"/>
      <c r="B2" s="4"/>
      <c r="C2" s="4"/>
      <c r="D2" s="4"/>
      <c r="E2" s="4"/>
      <c r="F2" s="4"/>
      <c r="I2" s="11" t="s">
        <v>11</v>
      </c>
      <c r="J2" s="12">
        <f>100%-J1</f>
        <v>1</v>
      </c>
    </row>
    <row r="3" spans="1:10" ht="15.75" customHeight="1" x14ac:dyDescent="0.2">
      <c r="A3" s="7" t="s">
        <v>30</v>
      </c>
      <c r="B3" s="8"/>
      <c r="C3" s="4"/>
      <c r="D3" s="7" t="s">
        <v>31</v>
      </c>
      <c r="E3" s="8"/>
      <c r="F3" s="4"/>
      <c r="I3" s="30"/>
      <c r="J3" s="26"/>
    </row>
    <row r="4" spans="1:10" ht="15.75" customHeight="1" x14ac:dyDescent="0.2">
      <c r="A4" s="4"/>
      <c r="B4" s="4"/>
      <c r="C4" s="4"/>
      <c r="D4" s="4"/>
      <c r="E4" s="4"/>
      <c r="F4" s="4"/>
      <c r="I4" s="30"/>
      <c r="J4" s="26"/>
    </row>
    <row r="5" spans="1:10" ht="12.75" x14ac:dyDescent="0.2">
      <c r="A5" s="47" t="s">
        <v>0</v>
      </c>
      <c r="B5" s="43" t="s">
        <v>26</v>
      </c>
      <c r="C5" s="43" t="s">
        <v>1</v>
      </c>
      <c r="D5" s="44" t="s">
        <v>40</v>
      </c>
      <c r="E5" s="45"/>
      <c r="F5" s="49" t="s">
        <v>38</v>
      </c>
      <c r="G5" s="49" t="s">
        <v>41</v>
      </c>
      <c r="H5" s="51" t="s">
        <v>33</v>
      </c>
      <c r="I5" s="44" t="s">
        <v>39</v>
      </c>
      <c r="J5" s="44" t="s">
        <v>42</v>
      </c>
    </row>
    <row r="6" spans="1:10" ht="83.45" customHeight="1" x14ac:dyDescent="0.2">
      <c r="A6" s="48"/>
      <c r="B6" s="43"/>
      <c r="C6" s="43"/>
      <c r="D6" s="22" t="s">
        <v>2</v>
      </c>
      <c r="E6" s="22" t="s">
        <v>3</v>
      </c>
      <c r="F6" s="50"/>
      <c r="G6" s="50"/>
      <c r="H6" s="52"/>
      <c r="I6" s="46"/>
      <c r="J6" s="45"/>
    </row>
    <row r="7" spans="1:10" ht="26.25" customHeight="1" x14ac:dyDescent="0.2">
      <c r="A7" s="1" t="s">
        <v>4</v>
      </c>
      <c r="B7" s="23" t="s">
        <v>21</v>
      </c>
      <c r="C7" s="13"/>
      <c r="D7" s="14">
        <v>4.5</v>
      </c>
      <c r="E7" s="15">
        <v>0.9</v>
      </c>
      <c r="F7" s="16" t="s">
        <v>13</v>
      </c>
      <c r="G7" s="25">
        <f>MIN(60,$B$1*E7)</f>
        <v>0.9</v>
      </c>
      <c r="H7" s="18">
        <v>0</v>
      </c>
      <c r="I7" s="29">
        <f t="shared" ref="I7:I12" si="0">H7/G7</f>
        <v>0</v>
      </c>
      <c r="J7" s="20">
        <f>G7*J2</f>
        <v>0.9</v>
      </c>
    </row>
    <row r="8" spans="1:10" ht="26.25" customHeight="1" x14ac:dyDescent="0.2">
      <c r="A8" s="1" t="s">
        <v>6</v>
      </c>
      <c r="B8" s="16" t="s">
        <v>23</v>
      </c>
      <c r="C8" s="2"/>
      <c r="D8" s="17">
        <v>4.5</v>
      </c>
      <c r="E8" s="21">
        <v>0.45</v>
      </c>
      <c r="F8" s="16" t="s">
        <v>13</v>
      </c>
      <c r="G8" s="25">
        <f>MIN(30,$B$1*E8)</f>
        <v>0.45</v>
      </c>
      <c r="H8" s="18">
        <v>0</v>
      </c>
      <c r="I8" s="19">
        <f t="shared" si="0"/>
        <v>0</v>
      </c>
      <c r="J8" s="20">
        <f>G8*J2</f>
        <v>0.45</v>
      </c>
    </row>
    <row r="9" spans="1:10" ht="26.25" customHeight="1" x14ac:dyDescent="0.2">
      <c r="A9" s="1" t="s">
        <v>17</v>
      </c>
      <c r="B9" s="16" t="s">
        <v>24</v>
      </c>
      <c r="C9" s="2"/>
      <c r="D9" s="17">
        <v>4.5</v>
      </c>
      <c r="E9" s="21">
        <v>0.22500000000000001</v>
      </c>
      <c r="F9" s="16" t="s">
        <v>13</v>
      </c>
      <c r="G9" s="25">
        <f>MIN(15,$B$1*E9)</f>
        <v>0.22500000000000001</v>
      </c>
      <c r="H9" s="18">
        <v>0</v>
      </c>
      <c r="I9" s="19">
        <f t="shared" si="0"/>
        <v>0</v>
      </c>
      <c r="J9" s="20">
        <f>G9*J2</f>
        <v>0.22500000000000001</v>
      </c>
    </row>
    <row r="10" spans="1:10" ht="26.25" customHeight="1" x14ac:dyDescent="0.2">
      <c r="A10" s="1" t="s">
        <v>8</v>
      </c>
      <c r="B10" s="16" t="s">
        <v>25</v>
      </c>
      <c r="C10" s="2"/>
      <c r="D10" s="17">
        <v>2.5</v>
      </c>
      <c r="E10" s="21">
        <v>1</v>
      </c>
      <c r="F10" s="16" t="s">
        <v>15</v>
      </c>
      <c r="G10" s="25">
        <f>MIN(60,$B$1*E10)</f>
        <v>1</v>
      </c>
      <c r="H10" s="18">
        <v>0</v>
      </c>
      <c r="I10" s="19">
        <f t="shared" si="0"/>
        <v>0</v>
      </c>
      <c r="J10" s="20">
        <f>G10*J2</f>
        <v>1</v>
      </c>
    </row>
    <row r="11" spans="1:10" ht="26.25" customHeight="1" x14ac:dyDescent="0.2">
      <c r="A11" s="1" t="s">
        <v>9</v>
      </c>
      <c r="B11" s="16" t="s">
        <v>21</v>
      </c>
      <c r="C11" s="2"/>
      <c r="D11" s="17">
        <v>2.5</v>
      </c>
      <c r="E11" s="21">
        <v>0.5</v>
      </c>
      <c r="F11" s="16" t="s">
        <v>15</v>
      </c>
      <c r="G11" s="25">
        <f>MIN(30,$B$1*E11)</f>
        <v>0.5</v>
      </c>
      <c r="H11" s="18">
        <v>0</v>
      </c>
      <c r="I11" s="19">
        <f t="shared" si="0"/>
        <v>0</v>
      </c>
      <c r="J11" s="20">
        <f>G11*J2</f>
        <v>0.5</v>
      </c>
    </row>
    <row r="12" spans="1:10" ht="26.25" customHeight="1" x14ac:dyDescent="0.2">
      <c r="A12" s="1" t="s">
        <v>10</v>
      </c>
      <c r="B12" s="16" t="s">
        <v>22</v>
      </c>
      <c r="C12" s="2"/>
      <c r="D12" s="17">
        <v>3</v>
      </c>
      <c r="E12" s="21">
        <v>1.5</v>
      </c>
      <c r="F12" s="16" t="s">
        <v>16</v>
      </c>
      <c r="G12" s="25">
        <f>MIN(112.5,$B$1*E12)</f>
        <v>1.5</v>
      </c>
      <c r="H12" s="18">
        <v>0</v>
      </c>
      <c r="I12" s="19">
        <f t="shared" si="0"/>
        <v>0</v>
      </c>
      <c r="J12" s="20">
        <f>G12*J2</f>
        <v>1.5</v>
      </c>
    </row>
    <row r="13" spans="1:10" ht="26.25" customHeight="1" x14ac:dyDescent="0.2">
      <c r="A13" s="41" t="s">
        <v>19</v>
      </c>
      <c r="B13" s="42"/>
      <c r="C13" s="42"/>
      <c r="D13" s="42"/>
      <c r="E13" s="42"/>
      <c r="F13" s="42"/>
      <c r="G13" s="42"/>
      <c r="H13" s="42"/>
      <c r="I13" s="42"/>
      <c r="J13" s="42"/>
    </row>
    <row r="14" spans="1:10" ht="26.25" customHeight="1" x14ac:dyDescent="0.2">
      <c r="A14" s="3" t="s">
        <v>4</v>
      </c>
      <c r="B14" s="24" t="s">
        <v>21</v>
      </c>
      <c r="C14" s="2" t="s">
        <v>5</v>
      </c>
      <c r="D14" s="32">
        <v>7</v>
      </c>
      <c r="E14" s="33">
        <v>1.4</v>
      </c>
      <c r="F14" s="34" t="s">
        <v>14</v>
      </c>
      <c r="G14" s="35">
        <f>MIN(100,$B$1*E14)</f>
        <v>1.4</v>
      </c>
      <c r="H14" s="36">
        <v>0</v>
      </c>
      <c r="I14" s="37">
        <f t="shared" ref="I14:I19" si="1">H14/G14</f>
        <v>0</v>
      </c>
      <c r="J14" s="38">
        <f>G14*J2</f>
        <v>1.4</v>
      </c>
    </row>
    <row r="15" spans="1:10" ht="26.25" customHeight="1" x14ac:dyDescent="0.2">
      <c r="A15" s="3" t="s">
        <v>6</v>
      </c>
      <c r="B15" s="24" t="s">
        <v>23</v>
      </c>
      <c r="C15" s="2" t="s">
        <v>5</v>
      </c>
      <c r="D15" s="39">
        <v>7</v>
      </c>
      <c r="E15" s="33">
        <v>0.7</v>
      </c>
      <c r="F15" s="34" t="s">
        <v>14</v>
      </c>
      <c r="G15" s="35">
        <f>MIN(50,$B$1*E15)</f>
        <v>0.7</v>
      </c>
      <c r="H15" s="36">
        <v>0</v>
      </c>
      <c r="I15" s="37">
        <f t="shared" si="1"/>
        <v>0</v>
      </c>
      <c r="J15" s="38">
        <f>G15*J2</f>
        <v>0.7</v>
      </c>
    </row>
    <row r="16" spans="1:10" ht="26.25" customHeight="1" x14ac:dyDescent="0.2">
      <c r="A16" s="3" t="s">
        <v>7</v>
      </c>
      <c r="B16" s="24" t="s">
        <v>24</v>
      </c>
      <c r="C16" s="2" t="s">
        <v>5</v>
      </c>
      <c r="D16" s="39">
        <v>7</v>
      </c>
      <c r="E16" s="33">
        <v>0.35</v>
      </c>
      <c r="F16" s="34" t="s">
        <v>14</v>
      </c>
      <c r="G16" s="35">
        <f>MIN(25,$B$1*E16)</f>
        <v>0.35</v>
      </c>
      <c r="H16" s="36">
        <v>0</v>
      </c>
      <c r="I16" s="37">
        <f t="shared" si="1"/>
        <v>0</v>
      </c>
      <c r="J16" s="38">
        <f>G16*J2</f>
        <v>0.35</v>
      </c>
    </row>
    <row r="17" spans="1:10" ht="26.25" customHeight="1" x14ac:dyDescent="0.2">
      <c r="A17" s="3" t="s">
        <v>8</v>
      </c>
      <c r="B17" s="24" t="s">
        <v>25</v>
      </c>
      <c r="C17" s="2" t="s">
        <v>5</v>
      </c>
      <c r="D17" s="39">
        <v>3</v>
      </c>
      <c r="E17" s="33">
        <v>1.2</v>
      </c>
      <c r="F17" s="34" t="s">
        <v>16</v>
      </c>
      <c r="G17" s="35">
        <f>MIN(90,$B$1*E17)</f>
        <v>1.2</v>
      </c>
      <c r="H17" s="36">
        <v>0</v>
      </c>
      <c r="I17" s="37">
        <f t="shared" si="1"/>
        <v>0</v>
      </c>
      <c r="J17" s="38">
        <f>G17*J2</f>
        <v>1.2</v>
      </c>
    </row>
    <row r="18" spans="1:10" ht="26.25" customHeight="1" x14ac:dyDescent="0.2">
      <c r="A18" s="3" t="s">
        <v>9</v>
      </c>
      <c r="B18" s="24" t="s">
        <v>21</v>
      </c>
      <c r="C18" s="2" t="s">
        <v>5</v>
      </c>
      <c r="D18" s="39">
        <v>3</v>
      </c>
      <c r="E18" s="33">
        <v>0.6</v>
      </c>
      <c r="F18" s="34" t="s">
        <v>16</v>
      </c>
      <c r="G18" s="35">
        <f>MIN(45,$B$1*E18)</f>
        <v>0.6</v>
      </c>
      <c r="H18" s="36">
        <v>0</v>
      </c>
      <c r="I18" s="37">
        <f t="shared" si="1"/>
        <v>0</v>
      </c>
      <c r="J18" s="38">
        <f>G18*J2</f>
        <v>0.6</v>
      </c>
    </row>
    <row r="19" spans="1:10" ht="26.25" customHeight="1" x14ac:dyDescent="0.2">
      <c r="A19" s="3" t="s">
        <v>10</v>
      </c>
      <c r="B19" s="24" t="s">
        <v>22</v>
      </c>
      <c r="C19" s="2" t="s">
        <v>5</v>
      </c>
      <c r="D19" s="39">
        <v>3.5</v>
      </c>
      <c r="E19" s="33">
        <v>1.75</v>
      </c>
      <c r="F19" s="34" t="s">
        <v>16</v>
      </c>
      <c r="G19" s="35">
        <f>MIN(112.5,$B$1*E19)</f>
        <v>1.75</v>
      </c>
      <c r="H19" s="36">
        <v>0</v>
      </c>
      <c r="I19" s="37">
        <f t="shared" si="1"/>
        <v>0</v>
      </c>
      <c r="J19" s="38">
        <f>G19*J2</f>
        <v>1.75</v>
      </c>
    </row>
    <row r="20" spans="1:10" ht="12.75" x14ac:dyDescent="0.2">
      <c r="A20" s="4"/>
      <c r="B20" s="4"/>
      <c r="C20" s="4"/>
      <c r="D20" s="4"/>
      <c r="E20" s="4"/>
      <c r="F20" s="5"/>
      <c r="G20" s="4"/>
      <c r="H20" s="6"/>
      <c r="I20" s="4"/>
    </row>
    <row r="21" spans="1:10" ht="12.75" x14ac:dyDescent="0.2">
      <c r="A21" s="4" t="s">
        <v>18</v>
      </c>
      <c r="B21" s="4"/>
      <c r="C21" s="4"/>
      <c r="D21" s="4"/>
      <c r="E21" s="4"/>
      <c r="F21" s="5"/>
      <c r="G21" s="4"/>
      <c r="H21" s="6"/>
      <c r="I21" s="4"/>
    </row>
    <row r="22" spans="1:10" ht="12.75" x14ac:dyDescent="0.2">
      <c r="A22" s="27" t="s">
        <v>32</v>
      </c>
      <c r="I22" s="4"/>
    </row>
    <row r="23" spans="1:10" ht="12.75" x14ac:dyDescent="0.2">
      <c r="A23" s="28" t="s">
        <v>37</v>
      </c>
      <c r="I23" s="4"/>
    </row>
    <row r="24" spans="1:10" ht="15.75" customHeight="1" x14ac:dyDescent="0.2">
      <c r="I24" s="4"/>
    </row>
    <row r="25" spans="1:10" ht="15.75" customHeight="1" x14ac:dyDescent="0.2">
      <c r="A25" s="27" t="s">
        <v>28</v>
      </c>
    </row>
    <row r="26" spans="1:10" ht="15.75" customHeight="1" x14ac:dyDescent="0.2">
      <c r="A26" s="28" t="s">
        <v>29</v>
      </c>
    </row>
    <row r="27" spans="1:10" ht="15.75" customHeight="1" x14ac:dyDescent="0.2">
      <c r="A27" s="28" t="s">
        <v>36</v>
      </c>
    </row>
    <row r="28" spans="1:10" ht="15.75" customHeight="1" x14ac:dyDescent="0.2">
      <c r="A28" s="28" t="s">
        <v>34</v>
      </c>
    </row>
    <row r="29" spans="1:10" ht="15.75" customHeight="1" x14ac:dyDescent="0.2">
      <c r="A29" s="28" t="s">
        <v>35</v>
      </c>
    </row>
    <row r="30" spans="1:10" ht="15.75" customHeight="1" x14ac:dyDescent="0.2">
      <c r="A30" s="28"/>
    </row>
    <row r="31" spans="1:10" ht="15.75" customHeight="1" x14ac:dyDescent="0.2">
      <c r="A31" s="28"/>
    </row>
    <row r="32" spans="1:10" ht="15.75" customHeight="1" x14ac:dyDescent="0.2">
      <c r="A32" s="28"/>
    </row>
    <row r="33" spans="1:1" ht="15.75" customHeight="1" x14ac:dyDescent="0.2">
      <c r="A33" s="28"/>
    </row>
    <row r="34" spans="1:1" ht="15.75" customHeight="1" x14ac:dyDescent="0.2">
      <c r="A34" s="28"/>
    </row>
    <row r="35" spans="1:1" ht="15.75" customHeight="1" x14ac:dyDescent="0.2">
      <c r="A35" s="28"/>
    </row>
    <row r="36" spans="1:1" ht="15.75" customHeight="1" x14ac:dyDescent="0.2"/>
  </sheetData>
  <sheetProtection sheet="1" objects="1" scenarios="1"/>
  <mergeCells count="10">
    <mergeCell ref="A13:J13"/>
    <mergeCell ref="B5:B6"/>
    <mergeCell ref="J5:J6"/>
    <mergeCell ref="C5:C6"/>
    <mergeCell ref="I5:I6"/>
    <mergeCell ref="A5:A6"/>
    <mergeCell ref="D5:E5"/>
    <mergeCell ref="F5:F6"/>
    <mergeCell ref="G5:G6"/>
    <mergeCell ref="H5:H6"/>
  </mergeCells>
  <conditionalFormatting sqref="I7:I12 I14:I19">
    <cfRule type="cellIs" dxfId="3" priority="1" operator="greaterThan">
      <formula>1</formula>
    </cfRule>
  </conditionalFormatting>
  <conditionalFormatting sqref="J1">
    <cfRule type="cellIs" dxfId="2" priority="3" operator="greaterThan">
      <formula>1</formula>
    </cfRule>
  </conditionalFormatting>
  <conditionalFormatting sqref="J2">
    <cfRule type="cellIs" dxfId="1" priority="2" operator="lessThan">
      <formula>0</formula>
    </cfRule>
  </conditionalFormatting>
  <conditionalFormatting sqref="J7:J12 J14:J19">
    <cfRule type="cellIs" dxfId="0" priority="4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E26D42067D1B498B6BB78090E46377" ma:contentTypeVersion="13" ma:contentTypeDescription="Create a new document." ma:contentTypeScope="" ma:versionID="1cc4e37ca4eaa3b1efb491f26dd97926">
  <xsd:schema xmlns:xsd="http://www.w3.org/2001/XMLSchema" xmlns:xs="http://www.w3.org/2001/XMLSchema" xmlns:p="http://schemas.microsoft.com/office/2006/metadata/properties" xmlns:ns3="a74579bf-db55-455f-9695-3dc12b1a4740" xmlns:ns4="b4c11b82-3c89-4572-9992-b5a5b3f8b877" targetNamespace="http://schemas.microsoft.com/office/2006/metadata/properties" ma:root="true" ma:fieldsID="2eaa481ad90f02ef3ef900e455c4877d" ns3:_="" ns4:_="">
    <xsd:import namespace="a74579bf-db55-455f-9695-3dc12b1a4740"/>
    <xsd:import namespace="b4c11b82-3c89-4572-9992-b5a5b3f8b8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579bf-db55-455f-9695-3dc12b1a47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11b82-3c89-4572-9992-b5a5b3f8b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4579bf-db55-455f-9695-3dc12b1a47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BA6141-5CF2-4658-A89D-41BCFE957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4579bf-db55-455f-9695-3dc12b1a4740"/>
    <ds:schemaRef ds:uri="b4c11b82-3c89-4572-9992-b5a5b3f8b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D2A093-BC11-48E7-B444-3509D896F8CA}">
  <ds:schemaRefs>
    <ds:schemaRef ds:uri="http://schemas.openxmlformats.org/package/2006/metadata/core-properties"/>
    <ds:schemaRef ds:uri="b4c11b82-3c89-4572-9992-b5a5b3f8b877"/>
    <ds:schemaRef ds:uri="http://purl.org/dc/dcmitype/"/>
    <ds:schemaRef ds:uri="http://schemas.microsoft.com/office/infopath/2007/PartnerControls"/>
    <ds:schemaRef ds:uri="a74579bf-db55-455f-9695-3dc12b1a4740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990201C-7A3D-49F0-9C42-3F24BC3C41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 Anesthetic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Swaney, Michelle M</dc:creator>
  <cp:lastModifiedBy>Marnin, Kristopher L</cp:lastModifiedBy>
  <dcterms:created xsi:type="dcterms:W3CDTF">2025-04-02T01:59:43Z</dcterms:created>
  <dcterms:modified xsi:type="dcterms:W3CDTF">2026-02-25T18:00:23Z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0x01010052E26D42067D1B498B6BB78090E46377</vt:lpwstr>
  </property>
</Properties>
</file>